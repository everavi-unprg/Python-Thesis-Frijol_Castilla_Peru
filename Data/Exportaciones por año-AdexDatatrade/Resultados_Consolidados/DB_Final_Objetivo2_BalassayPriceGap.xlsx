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dexDatatrade\Resultados_Consolidados\"/>
    </mc:Choice>
  </mc:AlternateContent>
  <xr:revisionPtr revIDLastSave="0" documentId="13_ncr:1_{8F2D720F-B21B-4198-977B-4B7032A196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5" i="1" l="1"/>
  <c r="L14" i="1"/>
  <c r="M15" i="1"/>
  <c r="M13" i="1"/>
  <c r="L12" i="1"/>
</calcChain>
</file>

<file path=xl/sharedStrings.xml><?xml version="1.0" encoding="utf-8"?>
<sst xmlns="http://schemas.openxmlformats.org/spreadsheetml/2006/main" count="10" uniqueCount="9">
  <si>
    <t>Año</t>
  </si>
  <si>
    <t>Frijol_FOB_Lambayeque</t>
  </si>
  <si>
    <t>Frijol_FOB_Piura</t>
  </si>
  <si>
    <t>Frijol_Kg_Lambayeque</t>
  </si>
  <si>
    <t>Frijol_Kg_Piura</t>
  </si>
  <si>
    <t>Total_Frijol_Peru</t>
  </si>
  <si>
    <t>Total_Agro_Lambayeque</t>
  </si>
  <si>
    <t>Total_Agro_Piura</t>
  </si>
  <si>
    <t>Total_Agro_Peru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</si>
</sst>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O16" sqref="O16"/>
    </sheetView>
  </sheetViews>
  <sheetFormatPr baseColWidth="10" defaultColWidth="9.140625" defaultRowHeight="15" x14ac:dyDescent="0.25"/>
  <cols>
    <col min="2" max="3" width="12.85546875" customWidth="1"/>
    <col min="4" max="4" width="16.28515625" customWidth="1"/>
    <col min="5" max="5" width="17.85546875" customWidth="1"/>
    <col min="6" max="6" width="17.5703125" customWidth="1"/>
    <col min="7" max="7" width="15.5703125" customWidth="1"/>
    <col min="8" max="8" width="15.7109375" customWidth="1"/>
    <col min="9" max="9" width="15.28515625" customWidth="1"/>
    <col min="10" max="10" width="15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</row>
    <row r="2" spans="1:15" x14ac:dyDescent="0.25">
      <c r="A2">
        <v>2012</v>
      </c>
      <c r="B2">
        <v>7285230.7599999998</v>
      </c>
      <c r="C2">
        <v>13624507.653000001</v>
      </c>
      <c r="D2">
        <v>6817625.6399999997</v>
      </c>
      <c r="E2">
        <v>11460814.293</v>
      </c>
      <c r="F2">
        <v>29067335.27</v>
      </c>
      <c r="G2">
        <v>150367390.05000001</v>
      </c>
      <c r="H2">
        <v>405081013.93000001</v>
      </c>
      <c r="I2">
        <v>3085150002.1499801</v>
      </c>
      <c r="J2">
        <v>29067335.27</v>
      </c>
    </row>
    <row r="3" spans="1:15" x14ac:dyDescent="0.25">
      <c r="A3">
        <v>2013</v>
      </c>
      <c r="B3">
        <v>2634051.59</v>
      </c>
      <c r="C3">
        <v>4103277.0120000001</v>
      </c>
      <c r="D3">
        <v>2563624.4279999998</v>
      </c>
      <c r="E3">
        <v>3901621.92</v>
      </c>
      <c r="F3">
        <v>11690753.640000001</v>
      </c>
      <c r="G3">
        <v>193567295.81999999</v>
      </c>
      <c r="H3">
        <v>489668287.07999998</v>
      </c>
      <c r="I3">
        <v>3446366443.1300001</v>
      </c>
      <c r="J3">
        <v>11690753.640000001</v>
      </c>
    </row>
    <row r="4" spans="1:15" x14ac:dyDescent="0.25">
      <c r="A4">
        <v>2014</v>
      </c>
      <c r="B4">
        <v>2348479.048</v>
      </c>
      <c r="C4">
        <v>3562642.7230000002</v>
      </c>
      <c r="D4">
        <v>1928505.4</v>
      </c>
      <c r="E4">
        <v>2858539.36</v>
      </c>
      <c r="F4">
        <v>7312791.9000000004</v>
      </c>
      <c r="G4">
        <v>275512492.79000002</v>
      </c>
      <c r="H4">
        <v>566893800.66999996</v>
      </c>
      <c r="I4">
        <v>4237251675.0300202</v>
      </c>
      <c r="J4">
        <v>7312791.9000000004</v>
      </c>
    </row>
    <row r="5" spans="1:15" x14ac:dyDescent="0.25">
      <c r="A5">
        <v>2015</v>
      </c>
      <c r="B5">
        <v>3079866.1510000001</v>
      </c>
      <c r="C5">
        <v>3507856.932</v>
      </c>
      <c r="D5">
        <v>2761486.34</v>
      </c>
      <c r="E5">
        <v>2774849.32</v>
      </c>
      <c r="F5">
        <v>8402480.0500000007</v>
      </c>
      <c r="G5">
        <v>318795768.01999998</v>
      </c>
      <c r="H5">
        <v>640226503.48999798</v>
      </c>
      <c r="I5">
        <v>4333853551.04</v>
      </c>
      <c r="J5">
        <v>8402480.0500000007</v>
      </c>
    </row>
    <row r="6" spans="1:15" x14ac:dyDescent="0.25">
      <c r="A6">
        <v>2016</v>
      </c>
      <c r="B6">
        <v>3444581.716</v>
      </c>
      <c r="C6">
        <v>5472013.5130000003</v>
      </c>
      <c r="D6">
        <v>3599621.29</v>
      </c>
      <c r="E6">
        <v>5888817.8399999999</v>
      </c>
      <c r="F6">
        <v>10296066.02</v>
      </c>
      <c r="G6">
        <v>285242233.86000001</v>
      </c>
      <c r="H6">
        <v>697872716.43999898</v>
      </c>
      <c r="I6">
        <v>4618544500.3100004</v>
      </c>
      <c r="J6">
        <v>10296066.02</v>
      </c>
    </row>
    <row r="7" spans="1:15" x14ac:dyDescent="0.25">
      <c r="A7">
        <v>2017</v>
      </c>
      <c r="B7">
        <v>2233147.9739999999</v>
      </c>
      <c r="C7">
        <v>4703545.0779999997</v>
      </c>
      <c r="D7">
        <v>2181583.37</v>
      </c>
      <c r="E7">
        <v>4965775.3760000002</v>
      </c>
      <c r="F7">
        <v>7502563.1200000001</v>
      </c>
      <c r="G7">
        <v>295134528.82999998</v>
      </c>
      <c r="H7">
        <v>620901928.84000099</v>
      </c>
      <c r="I7">
        <v>5039807684.1099796</v>
      </c>
      <c r="J7">
        <v>7502563.1200000001</v>
      </c>
    </row>
    <row r="8" spans="1:15" x14ac:dyDescent="0.25">
      <c r="A8">
        <v>2018</v>
      </c>
      <c r="B8">
        <v>2445271.0750000002</v>
      </c>
      <c r="C8">
        <v>3490911.57</v>
      </c>
      <c r="D8">
        <v>1924493.949</v>
      </c>
      <c r="E8">
        <v>2964716</v>
      </c>
      <c r="F8">
        <v>7226104.5599999996</v>
      </c>
      <c r="G8">
        <v>428274606.88999999</v>
      </c>
      <c r="H8">
        <v>815913443.55000103</v>
      </c>
      <c r="I8">
        <v>5764318652.16998</v>
      </c>
      <c r="J8">
        <v>7226104.5599999996</v>
      </c>
    </row>
    <row r="9" spans="1:15" x14ac:dyDescent="0.25">
      <c r="A9">
        <v>2019</v>
      </c>
      <c r="B9">
        <v>4755046.4000000004</v>
      </c>
      <c r="C9">
        <v>3427528.72</v>
      </c>
      <c r="D9">
        <v>4147707.11</v>
      </c>
      <c r="E9">
        <v>3028872.4</v>
      </c>
      <c r="F9">
        <v>9846685.5099999998</v>
      </c>
      <c r="G9">
        <v>562818150.60000002</v>
      </c>
      <c r="H9">
        <v>874762612.35999894</v>
      </c>
      <c r="I9">
        <v>6324536384.8199501</v>
      </c>
      <c r="J9">
        <v>9846685.5099999998</v>
      </c>
    </row>
    <row r="10" spans="1:15" x14ac:dyDescent="0.25">
      <c r="A10">
        <v>2020</v>
      </c>
      <c r="B10">
        <v>3226961.3050000002</v>
      </c>
      <c r="C10">
        <v>3726014.08</v>
      </c>
      <c r="D10">
        <v>2537866.9130000002</v>
      </c>
      <c r="E10">
        <v>2861038.44</v>
      </c>
      <c r="F10">
        <v>9912604.1799999997</v>
      </c>
      <c r="G10">
        <v>632590851.37999904</v>
      </c>
      <c r="H10">
        <v>993400124.19000006</v>
      </c>
      <c r="I10">
        <v>6726184257.8800001</v>
      </c>
      <c r="J10">
        <v>9912604.1799999997</v>
      </c>
    </row>
    <row r="11" spans="1:15" x14ac:dyDescent="0.25">
      <c r="A11">
        <v>2021</v>
      </c>
      <c r="B11">
        <v>6383270.1560000004</v>
      </c>
      <c r="C11">
        <v>2850138.09</v>
      </c>
      <c r="D11">
        <v>4748912.5539999995</v>
      </c>
      <c r="E11">
        <v>2288463.2000000002</v>
      </c>
      <c r="F11">
        <v>17378054.219999999</v>
      </c>
      <c r="G11">
        <v>832971917.39999902</v>
      </c>
      <c r="H11">
        <v>1133939507.0999899</v>
      </c>
      <c r="I11">
        <v>7909912959.0499601</v>
      </c>
      <c r="J11">
        <v>17378054.219999999</v>
      </c>
    </row>
    <row r="12" spans="1:15" x14ac:dyDescent="0.25">
      <c r="A12">
        <v>2022</v>
      </c>
      <c r="B12">
        <v>4583643.25</v>
      </c>
      <c r="C12">
        <v>2553474.0099999998</v>
      </c>
      <c r="D12">
        <v>3613131.84</v>
      </c>
      <c r="E12">
        <v>2108134.56</v>
      </c>
      <c r="F12">
        <v>13430039.949999999</v>
      </c>
      <c r="G12">
        <v>844043367.53999901</v>
      </c>
      <c r="H12">
        <v>1259311219.8900101</v>
      </c>
      <c r="I12">
        <v>8443264705.54004</v>
      </c>
      <c r="J12">
        <v>13430039.949999999</v>
      </c>
      <c r="L12">
        <f>B14/G14</f>
        <v>4.0743697668579248E-3</v>
      </c>
    </row>
    <row r="13" spans="1:15" x14ac:dyDescent="0.25">
      <c r="A13">
        <v>2023</v>
      </c>
      <c r="B13">
        <v>1479061.1</v>
      </c>
      <c r="C13">
        <v>2955284.8</v>
      </c>
      <c r="D13">
        <v>1079762.3999999999</v>
      </c>
      <c r="E13">
        <v>2264267.7999999998</v>
      </c>
      <c r="F13">
        <v>8087253.5199999996</v>
      </c>
      <c r="G13">
        <v>801494210.40999997</v>
      </c>
      <c r="H13">
        <v>1205382379.78</v>
      </c>
      <c r="I13">
        <v>9224286786.8600006</v>
      </c>
      <c r="J13">
        <v>8087253.5199999996</v>
      </c>
      <c r="M13">
        <f>L12*100</f>
        <v>0.40743697668579248</v>
      </c>
    </row>
    <row r="14" spans="1:15" x14ac:dyDescent="0.25">
      <c r="A14">
        <v>2024</v>
      </c>
      <c r="B14">
        <v>3617760.0839999998</v>
      </c>
      <c r="C14">
        <v>1561234.507</v>
      </c>
      <c r="D14">
        <v>2717984.57</v>
      </c>
      <c r="E14">
        <v>1230839.9939999999</v>
      </c>
      <c r="F14">
        <v>10102051.140000001</v>
      </c>
      <c r="G14">
        <v>887931211.69999897</v>
      </c>
      <c r="H14">
        <v>1458542996.0599899</v>
      </c>
      <c r="I14">
        <v>11124576570.200001</v>
      </c>
      <c r="J14">
        <v>10102051.140000001</v>
      </c>
      <c r="L14">
        <f>J14/I14</f>
        <v>9.0808410335912527E-4</v>
      </c>
    </row>
    <row r="15" spans="1:15" x14ac:dyDescent="0.25">
      <c r="M15">
        <f>L14*100</f>
        <v>9.0808410335912526E-2</v>
      </c>
      <c r="O15">
        <f>M13/M15</f>
        <v>4.4867757862804591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JV</cp:lastModifiedBy>
  <dcterms:created xsi:type="dcterms:W3CDTF">2026-04-12T19:59:40Z</dcterms:created>
  <dcterms:modified xsi:type="dcterms:W3CDTF">2026-04-12T22:25:59Z</dcterms:modified>
</cp:coreProperties>
</file>